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Z:\VENTAS 2026\NOTIFICACIONES\ABRIL\"/>
    </mc:Choice>
  </mc:AlternateContent>
  <xr:revisionPtr revIDLastSave="0" documentId="13_ncr:1_{B1081C8E-9951-475A-8C47-58A6CD84719A}" xr6:coauthVersionLast="47" xr6:coauthVersionMax="47" xr10:uidLastSave="{00000000-0000-0000-0000-000000000000}"/>
  <bookViews>
    <workbookView xWindow="-120" yWindow="-120" windowWidth="29040" windowHeight="15840" tabRatio="527" xr2:uid="{00000000-000D-0000-FFFF-FFFF00000000}"/>
  </bookViews>
  <sheets>
    <sheet name="Hoja1" sheetId="5" r:id="rId1"/>
    <sheet name="NOTIFICACION" sheetId="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7" i="5" l="1"/>
  <c r="D17" i="6"/>
  <c r="D19" i="6" s="1"/>
  <c r="C17" i="6"/>
  <c r="F14" i="5"/>
  <c r="F13" i="5"/>
  <c r="F12" i="5"/>
  <c r="C22" i="6" l="1"/>
  <c r="E22" i="6" l="1"/>
  <c r="D22" i="6"/>
  <c r="E17" i="6"/>
  <c r="E18" i="6" s="1"/>
  <c r="C18" i="6"/>
  <c r="A4" i="6"/>
  <c r="C16" i="5"/>
  <c r="D14" i="5"/>
  <c r="D13" i="5"/>
  <c r="D11" i="5"/>
  <c r="F11" i="5"/>
  <c r="F18" i="5"/>
  <c r="D23" i="6" l="1"/>
  <c r="D18" i="6"/>
  <c r="C19" i="6"/>
  <c r="E19" i="6"/>
  <c r="D12" i="5"/>
  <c r="D16" i="5" s="1"/>
  <c r="F15" i="5" l="1"/>
  <c r="F16" i="5" s="1"/>
  <c r="F19" i="5" s="1"/>
</calcChain>
</file>

<file path=xl/sharedStrings.xml><?xml version="1.0" encoding="utf-8"?>
<sst xmlns="http://schemas.openxmlformats.org/spreadsheetml/2006/main" count="109" uniqueCount="99">
  <si>
    <t>OBSERVACIONES:</t>
  </si>
  <si>
    <t>Fecha:</t>
  </si>
  <si>
    <t>GRUPO</t>
  </si>
  <si>
    <t>Agencia o Cía:</t>
  </si>
  <si>
    <t>TIPO DE GRUPO</t>
  </si>
  <si>
    <t>Dirección:</t>
  </si>
  <si>
    <t>Teléfono</t>
  </si>
  <si>
    <t>Coordinador:</t>
  </si>
  <si>
    <t>R.FC.:</t>
  </si>
  <si>
    <t>Ejecutivo:</t>
  </si>
  <si>
    <t>Ant:</t>
  </si>
  <si>
    <t>Fecha de entrada:</t>
  </si>
  <si>
    <t>Fecha de Salida:</t>
  </si>
  <si>
    <t>Hora de Llegada:</t>
  </si>
  <si>
    <t>TARIFAS</t>
  </si>
  <si>
    <t>N° DE HAB</t>
  </si>
  <si>
    <t>PAX</t>
  </si>
  <si>
    <t>NOCHES</t>
  </si>
  <si>
    <t>TOTAL</t>
  </si>
  <si>
    <t>PROPINA</t>
  </si>
  <si>
    <t>DOBLE</t>
  </si>
  <si>
    <t>CAMARISTA</t>
  </si>
  <si>
    <t>BELL BOY</t>
  </si>
  <si>
    <t>HOSPEDAJE:</t>
  </si>
  <si>
    <t>PROPINAS:</t>
  </si>
  <si>
    <t>TOTAL EVENTO:</t>
  </si>
  <si>
    <t>NO. DE RESERVACIÓN:</t>
  </si>
  <si>
    <t>Cta. Maestra I:</t>
  </si>
  <si>
    <t>Cta.Individuales1:</t>
  </si>
  <si>
    <t xml:space="preserve">CUALQUIER EXTRA QUE NO ESTE ESPECIFICADO EN ESTE INSTRUCTIVO </t>
  </si>
  <si>
    <t>DEBERA SER PAGADO EN EL MOMENTO DE SU CONSUMO POR LA PERSONA QUE LO SOLICITE.</t>
  </si>
  <si>
    <t>CORTESíAS:</t>
  </si>
  <si>
    <t>ANTICIPO:</t>
  </si>
  <si>
    <t>FACTURAR A:</t>
  </si>
  <si>
    <t>DOMICILIO:</t>
  </si>
  <si>
    <t>R.F.C.</t>
  </si>
  <si>
    <t>TELEFONO GUIA</t>
  </si>
  <si>
    <t>DESPERTADOR</t>
  </si>
  <si>
    <t>ALIMENTOS</t>
  </si>
  <si>
    <t>EQUIPAJE</t>
  </si>
  <si>
    <t>RECEPCIÓN</t>
  </si>
  <si>
    <t>COCINA</t>
  </si>
  <si>
    <t>VALET / BELLBOYS</t>
  </si>
  <si>
    <t>GTE. OPERACIONES</t>
  </si>
  <si>
    <t>AMA DE  LLAVES</t>
  </si>
  <si>
    <t>MTTO.</t>
  </si>
  <si>
    <t xml:space="preserve">HOTEL SAN PEDRO </t>
  </si>
  <si>
    <t xml:space="preserve">CUADRUPLE </t>
  </si>
  <si>
    <t xml:space="preserve">ANAYELI PEREZ CADENA </t>
  </si>
  <si>
    <t xml:space="preserve">                                                                                    </t>
  </si>
  <si>
    <t xml:space="preserve">CORTESIA </t>
  </si>
  <si>
    <t xml:space="preserve">SE PASAN COMPROBANTES UN DIA ANTES </t>
  </si>
  <si>
    <t xml:space="preserve">SENCILLA </t>
  </si>
  <si>
    <t xml:space="preserve">BRINDAR EL SERVICIO QUE NOS CARACTERIZA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</si>
  <si>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</si>
  <si>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TRIPLE </t>
  </si>
  <si>
    <t>HABITACIONES,  E IMPUESTOS  Y SERV.INCLUIDOS</t>
  </si>
  <si>
    <t>FECHA DE EVENTO:</t>
  </si>
  <si>
    <t>CLIENTE Y/O EMPRESA:</t>
  </si>
  <si>
    <t>EJECUTIVO:</t>
  </si>
  <si>
    <t>HORARIO:</t>
  </si>
  <si>
    <t>LUGAR:</t>
  </si>
  <si>
    <t>MONTAJE:</t>
  </si>
  <si>
    <t>RESTAURANTE/JARDIN</t>
  </si>
  <si>
    <t>NORMAL</t>
  </si>
  <si>
    <t>COSTOS:</t>
  </si>
  <si>
    <t>CONCEPTO:</t>
  </si>
  <si>
    <t>PRECIO:</t>
  </si>
  <si>
    <t>IVA:</t>
  </si>
  <si>
    <t>SERVICIO:</t>
  </si>
  <si>
    <t>SUBTOTAL:</t>
  </si>
  <si>
    <t>NO. PAX:</t>
  </si>
  <si>
    <t>NO. DÍAS:</t>
  </si>
  <si>
    <t>TOTAL:</t>
  </si>
  <si>
    <t>CORTESIAS:</t>
  </si>
  <si>
    <t xml:space="preserve">PAGO: </t>
  </si>
  <si>
    <t>CARGAR A RECEPCION</t>
  </si>
  <si>
    <t>CUIDAR DETALLES EN PRESENTACION, TEMPERATURA Y HORARIOS</t>
  </si>
  <si>
    <t>ESTACIONAMIENTO:</t>
  </si>
  <si>
    <t>PREPARAR:</t>
  </si>
  <si>
    <t>GARANTÍA:</t>
  </si>
  <si>
    <t>MENÚS:</t>
  </si>
  <si>
    <t>MTTO</t>
  </si>
  <si>
    <t xml:space="preserve">,PLATO DE CORTESIA PARA EL COORDINADOR Y COCTEL BIENVENIDA PARA EL GRUPO  </t>
  </si>
  <si>
    <t xml:space="preserve">COCTEL DE BIENVENIDA Y  PLATO DE CORTESIA PARA EL GUIA </t>
  </si>
  <si>
    <t>AYB</t>
  </si>
  <si>
    <t>A Y B</t>
  </si>
  <si>
    <t xml:space="preserve">AZTECA TOURS </t>
  </si>
  <si>
    <t>SIDNEY LIZANO</t>
  </si>
  <si>
    <t>INSTRUCTIVO DE GRUPO                                FOLIO 8872</t>
  </si>
  <si>
    <t>EXTRANJEROS / COSTA RICA</t>
  </si>
  <si>
    <t xml:space="preserve">DESAYUNO AMERICANO </t>
  </si>
  <si>
    <t>DESAYUNO AMERICANO</t>
  </si>
  <si>
    <t xml:space="preserve">EXTRANJEROS/COSTA RICA </t>
  </si>
  <si>
    <t xml:space="preserve">SE ANEXAN DATOS DE FACTURA </t>
  </si>
  <si>
    <t xml:space="preserve">CAFÉ AMERICANO O TE /  FRUTA / OMELETTE DE QUESO Y JAMON 
SEGUNDO DIA : CAFÉ AMERICANO O TE / FRUTA/ HUEVOS REVUELTOS CON DOS CAKES </t>
  </si>
  <si>
    <t xml:space="preserve">02 Y 03 DE ABRIL </t>
  </si>
  <si>
    <t>02 Y 03 DE ABRIL 
07:00 AM POR CONFIRMAR HORARIO</t>
  </si>
  <si>
    <t>NOTIFICACIÓN DE EVENTO  FOLIO 8872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</si>
</sst>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8" formatCode="&quot;$&quot;#,##0.00;[Red]\-&quot;$&quot;#,##0.00"/>
    <numFmt numFmtId="44" formatCode="_-&quot;$&quot;* #,##0.00_-;\-&quot;$&quot;* #,##0.00_-;_-&quot;$&quot;* &quot;-&quot;??_-;_-@_-"/>
    <numFmt numFmtId="164" formatCode="&quot;$&quot;#,##0.00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6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sz val="11"/>
      <name val="Calibri"/>
      <family val="2"/>
      <scheme val="minor"/>
    </font>
    <font>
      <b/>
      <sz val="10"/>
      <color theme="0"/>
      <name val="Arial"/>
      <family val="2"/>
    </font>
    <font>
      <b/>
      <u/>
      <sz val="8"/>
      <name val="Arial"/>
      <family val="2"/>
    </font>
    <font>
      <u/>
      <sz val="7"/>
      <name val="Arial"/>
      <family val="2"/>
    </font>
    <font>
      <b/>
      <sz val="11"/>
      <name val="Calibri"/>
      <family val="2"/>
      <scheme val="minor"/>
    </font>
    <font>
      <b/>
      <sz val="8"/>
      <name val="Calibri"/>
      <family val="2"/>
      <scheme val="minor"/>
    </font>
    <font>
      <b/>
      <sz val="9"/>
      <name val="Calibri"/>
      <family val="2"/>
      <scheme val="minor"/>
    </font>
    <font>
      <u/>
      <sz val="10"/>
      <name val="Arial"/>
      <family val="2"/>
    </font>
    <font>
      <b/>
      <sz val="7"/>
      <color theme="0"/>
      <name val="Arial"/>
      <family val="2"/>
    </font>
    <font>
      <b/>
      <sz val="12"/>
      <name val="Arial"/>
      <family val="2"/>
    </font>
    <font>
      <b/>
      <sz val="16"/>
      <color indexed="8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4"/>
      <color indexed="8"/>
      <name val="Calibri"/>
      <family val="2"/>
      <scheme val="minor"/>
    </font>
    <font>
      <sz val="12"/>
      <color indexed="8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i/>
      <sz val="14"/>
      <color indexed="8"/>
      <name val="Calibri"/>
      <family val="2"/>
      <scheme val="minor"/>
    </font>
    <font>
      <b/>
      <sz val="9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u/>
      <sz val="9"/>
      <color indexed="8"/>
      <name val="Calibri"/>
      <family val="2"/>
      <scheme val="minor"/>
    </font>
    <font>
      <sz val="9"/>
      <color indexed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indexed="8"/>
      <name val="Calibri"/>
      <family val="2"/>
    </font>
    <font>
      <sz val="9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1">
    <xf numFmtId="0" fontId="0" fillId="0" borderId="0" xfId="0"/>
    <xf numFmtId="0" fontId="3" fillId="0" borderId="0" xfId="0" applyFont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15" fontId="4" fillId="0" borderId="0" xfId="0" applyNumberFormat="1" applyFont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4" fillId="0" borderId="28" xfId="0" applyFont="1" applyBorder="1" applyAlignment="1">
      <alignment horizontal="left"/>
    </xf>
    <xf numFmtId="0" fontId="3" fillId="2" borderId="9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0" xfId="0" applyFont="1" applyBorder="1"/>
    <xf numFmtId="15" fontId="4" fillId="0" borderId="0" xfId="0" applyNumberFormat="1" applyFont="1" applyBorder="1"/>
    <xf numFmtId="0" fontId="4" fillId="0" borderId="0" xfId="0" applyFont="1" applyBorder="1" applyAlignment="1">
      <alignment vertical="top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3" fillId="2" borderId="34" xfId="0" applyFont="1" applyFill="1" applyBorder="1" applyAlignment="1">
      <alignment horizontal="center" vertical="center" wrapText="1"/>
    </xf>
    <xf numFmtId="0" fontId="3" fillId="2" borderId="35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top" wrapText="1"/>
    </xf>
    <xf numFmtId="0" fontId="4" fillId="2" borderId="20" xfId="0" applyFont="1" applyFill="1" applyBorder="1" applyAlignment="1">
      <alignment horizontal="center" vertical="center" wrapText="1"/>
    </xf>
    <xf numFmtId="0" fontId="4" fillId="2" borderId="36" xfId="0" applyFont="1" applyFill="1" applyBorder="1" applyAlignment="1">
      <alignment horizontal="center" vertical="center" wrapText="1"/>
    </xf>
    <xf numFmtId="0" fontId="3" fillId="0" borderId="35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 wrapText="1"/>
    </xf>
    <xf numFmtId="44" fontId="6" fillId="0" borderId="19" xfId="1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 wrapText="1"/>
    </xf>
    <xf numFmtId="44" fontId="4" fillId="3" borderId="26" xfId="1" applyFont="1" applyFill="1" applyBorder="1" applyAlignment="1">
      <alignment horizontal="center" vertical="center"/>
    </xf>
    <xf numFmtId="8" fontId="6" fillId="0" borderId="19" xfId="1" applyNumberFormat="1" applyFont="1" applyFill="1" applyBorder="1" applyAlignment="1">
      <alignment horizontal="center" vertical="center"/>
    </xf>
    <xf numFmtId="44" fontId="4" fillId="3" borderId="16" xfId="1" applyFont="1" applyFill="1" applyBorder="1" applyAlignment="1">
      <alignment horizontal="center" vertical="center"/>
    </xf>
    <xf numFmtId="0" fontId="4" fillId="0" borderId="38" xfId="0" applyFont="1" applyFill="1" applyBorder="1" applyAlignment="1">
      <alignment horizontal="center" vertical="center"/>
    </xf>
    <xf numFmtId="8" fontId="4" fillId="3" borderId="39" xfId="1" applyNumberFormat="1" applyFont="1" applyFill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 wrapText="1"/>
    </xf>
    <xf numFmtId="0" fontId="3" fillId="2" borderId="41" xfId="0" applyFont="1" applyFill="1" applyBorder="1" applyAlignment="1">
      <alignment horizontal="center" vertical="center"/>
    </xf>
    <xf numFmtId="0" fontId="8" fillId="0" borderId="0" xfId="0" applyFont="1"/>
    <xf numFmtId="0" fontId="8" fillId="3" borderId="0" xfId="0" applyFont="1" applyFill="1"/>
    <xf numFmtId="0" fontId="4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 wrapText="1"/>
    </xf>
    <xf numFmtId="44" fontId="7" fillId="3" borderId="19" xfId="1" applyFont="1" applyFill="1" applyBorder="1" applyAlignment="1">
      <alignment horizontal="center" vertical="center"/>
    </xf>
    <xf numFmtId="0" fontId="6" fillId="0" borderId="0" xfId="0" applyFont="1" applyFill="1"/>
    <xf numFmtId="0" fontId="3" fillId="2" borderId="43" xfId="0" applyFont="1" applyFill="1" applyBorder="1" applyAlignment="1">
      <alignment horizontal="center" vertical="center"/>
    </xf>
    <xf numFmtId="44" fontId="7" fillId="3" borderId="12" xfId="1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 wrapText="1"/>
    </xf>
    <xf numFmtId="44" fontId="7" fillId="3" borderId="9" xfId="1" applyFont="1" applyFill="1" applyBorder="1" applyAlignment="1">
      <alignment horizontal="center" vertical="center"/>
    </xf>
    <xf numFmtId="44" fontId="6" fillId="0" borderId="0" xfId="0" applyNumberFormat="1" applyFont="1" applyFill="1"/>
    <xf numFmtId="0" fontId="7" fillId="0" borderId="16" xfId="0" applyFont="1" applyBorder="1" applyAlignment="1">
      <alignment horizontal="center" vertical="center"/>
    </xf>
    <xf numFmtId="0" fontId="7" fillId="0" borderId="0" xfId="0" applyFont="1" applyBorder="1" applyAlignment="1"/>
    <xf numFmtId="0" fontId="9" fillId="0" borderId="0" xfId="0" applyFont="1" applyFill="1" applyBorder="1" applyAlignment="1"/>
    <xf numFmtId="0" fontId="7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 vertical="center"/>
    </xf>
    <xf numFmtId="0" fontId="6" fillId="0" borderId="0" xfId="0" applyFont="1"/>
    <xf numFmtId="0" fontId="3" fillId="2" borderId="6" xfId="0" applyFont="1" applyFill="1" applyBorder="1"/>
    <xf numFmtId="0" fontId="10" fillId="0" borderId="0" xfId="0" applyFont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45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vertical="center"/>
    </xf>
    <xf numFmtId="0" fontId="14" fillId="0" borderId="0" xfId="0" applyFont="1" applyAlignment="1">
      <alignment horizontal="center" vertical="center" wrapText="1"/>
    </xf>
    <xf numFmtId="0" fontId="8" fillId="0" borderId="17" xfId="0" applyFont="1" applyBorder="1"/>
    <xf numFmtId="14" fontId="0" fillId="0" borderId="0" xfId="0" applyNumberFormat="1"/>
    <xf numFmtId="44" fontId="6" fillId="0" borderId="42" xfId="1" applyFont="1" applyFill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12" fillId="0" borderId="0" xfId="0" applyFont="1"/>
    <xf numFmtId="44" fontId="3" fillId="3" borderId="18" xfId="1" applyFont="1" applyFill="1" applyBorder="1" applyAlignment="1">
      <alignment horizontal="left" vertical="center" wrapText="1"/>
    </xf>
    <xf numFmtId="44" fontId="4" fillId="3" borderId="18" xfId="1" applyFont="1" applyFill="1" applyBorder="1" applyAlignment="1">
      <alignment horizontal="left" vertical="center" wrapText="1"/>
    </xf>
    <xf numFmtId="44" fontId="3" fillId="2" borderId="37" xfId="1" applyFont="1" applyFill="1" applyBorder="1" applyAlignment="1">
      <alignment horizontal="center" vertical="center" wrapText="1"/>
    </xf>
    <xf numFmtId="44" fontId="3" fillId="3" borderId="26" xfId="1" applyFont="1" applyFill="1" applyBorder="1" applyAlignment="1">
      <alignment horizontal="center" vertical="center"/>
    </xf>
    <xf numFmtId="44" fontId="3" fillId="2" borderId="23" xfId="1" applyFont="1" applyFill="1" applyBorder="1" applyAlignment="1">
      <alignment horizontal="left" vertical="center" wrapText="1"/>
    </xf>
    <xf numFmtId="44" fontId="7" fillId="3" borderId="10" xfId="1" applyFont="1" applyFill="1" applyBorder="1" applyAlignment="1">
      <alignment horizontal="center" vertical="center"/>
    </xf>
    <xf numFmtId="0" fontId="24" fillId="2" borderId="9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27" fillId="2" borderId="51" xfId="0" applyFont="1" applyFill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0" fontId="27" fillId="5" borderId="52" xfId="0" applyFont="1" applyFill="1" applyBorder="1" applyAlignment="1">
      <alignment horizontal="center" vertical="center" wrapText="1"/>
    </xf>
    <xf numFmtId="0" fontId="27" fillId="5" borderId="20" xfId="0" applyFont="1" applyFill="1" applyBorder="1" applyAlignment="1">
      <alignment horizontal="center" vertical="center" wrapText="1" shrinkToFit="1"/>
    </xf>
    <xf numFmtId="0" fontId="22" fillId="2" borderId="10" xfId="0" applyFont="1" applyFill="1" applyBorder="1" applyAlignment="1">
      <alignment horizontal="center" vertical="center"/>
    </xf>
    <xf numFmtId="164" fontId="22" fillId="0" borderId="53" xfId="0" applyNumberFormat="1" applyFont="1" applyBorder="1" applyAlignment="1">
      <alignment horizontal="center" vertical="center"/>
    </xf>
    <xf numFmtId="44" fontId="28" fillId="0" borderId="14" xfId="1" applyFont="1" applyBorder="1" applyAlignment="1">
      <alignment horizontal="center" vertical="center"/>
    </xf>
    <xf numFmtId="44" fontId="21" fillId="0" borderId="14" xfId="1" applyFont="1" applyBorder="1" applyAlignment="1">
      <alignment horizontal="center" vertical="center"/>
    </xf>
    <xf numFmtId="44" fontId="21" fillId="0" borderId="16" xfId="1" applyFont="1" applyBorder="1" applyAlignment="1">
      <alignment horizontal="center" vertical="center"/>
    </xf>
    <xf numFmtId="0" fontId="29" fillId="2" borderId="19" xfId="0" applyFont="1" applyFill="1" applyBorder="1" applyAlignment="1">
      <alignment horizontal="center" vertical="center"/>
    </xf>
    <xf numFmtId="2" fontId="30" fillId="0" borderId="18" xfId="0" applyNumberFormat="1" applyFont="1" applyBorder="1" applyAlignment="1">
      <alignment horizontal="center" vertical="center"/>
    </xf>
    <xf numFmtId="44" fontId="30" fillId="0" borderId="16" xfId="1" applyFont="1" applyBorder="1" applyAlignment="1">
      <alignment horizontal="center" vertical="center"/>
    </xf>
    <xf numFmtId="44" fontId="30" fillId="0" borderId="18" xfId="0" applyNumberFormat="1" applyFont="1" applyBorder="1" applyAlignment="1">
      <alignment horizontal="center" vertical="center"/>
    </xf>
    <xf numFmtId="0" fontId="29" fillId="2" borderId="12" xfId="0" applyFont="1" applyFill="1" applyBorder="1" applyAlignment="1">
      <alignment horizontal="center" vertical="center"/>
    </xf>
    <xf numFmtId="2" fontId="30" fillId="0" borderId="21" xfId="0" applyNumberFormat="1" applyFont="1" applyBorder="1" applyAlignment="1">
      <alignment horizontal="center" vertical="center"/>
    </xf>
    <xf numFmtId="44" fontId="30" fillId="0" borderId="54" xfId="1" applyFont="1" applyBorder="1" applyAlignment="1">
      <alignment horizontal="center" vertical="center"/>
    </xf>
    <xf numFmtId="44" fontId="0" fillId="0" borderId="0" xfId="0" applyNumberFormat="1"/>
    <xf numFmtId="164" fontId="30" fillId="0" borderId="18" xfId="0" applyNumberFormat="1" applyFont="1" applyBorder="1" applyAlignment="1">
      <alignment horizontal="center" vertical="center"/>
    </xf>
    <xf numFmtId="0" fontId="21" fillId="0" borderId="16" xfId="1" applyNumberFormat="1" applyFont="1" applyBorder="1" applyAlignment="1">
      <alignment horizontal="center" vertical="center"/>
    </xf>
    <xf numFmtId="44" fontId="30" fillId="0" borderId="0" xfId="0" applyNumberFormat="1" applyFont="1" applyAlignment="1">
      <alignment horizontal="center" vertical="center"/>
    </xf>
    <xf numFmtId="0" fontId="29" fillId="2" borderId="55" xfId="0" applyFont="1" applyFill="1" applyBorder="1" applyAlignment="1">
      <alignment horizontal="center" vertical="center"/>
    </xf>
    <xf numFmtId="0" fontId="30" fillId="0" borderId="15" xfId="0" applyFont="1" applyBorder="1" applyAlignment="1">
      <alignment horizontal="center" vertical="center"/>
    </xf>
    <xf numFmtId="0" fontId="29" fillId="0" borderId="56" xfId="1" applyNumberFormat="1" applyFont="1" applyBorder="1" applyAlignment="1">
      <alignment horizontal="center" vertical="center"/>
    </xf>
    <xf numFmtId="0" fontId="29" fillId="0" borderId="15" xfId="1" applyNumberFormat="1" applyFont="1" applyBorder="1" applyAlignment="1">
      <alignment horizontal="center" vertical="center"/>
    </xf>
    <xf numFmtId="44" fontId="27" fillId="0" borderId="16" xfId="1" applyFont="1" applyBorder="1" applyAlignment="1">
      <alignment horizontal="center" vertical="center"/>
    </xf>
    <xf numFmtId="0" fontId="29" fillId="2" borderId="22" xfId="0" applyFont="1" applyFill="1" applyBorder="1" applyAlignment="1">
      <alignment horizontal="center" vertical="center"/>
    </xf>
    <xf numFmtId="0" fontId="30" fillId="0" borderId="23" xfId="0" applyFont="1" applyBorder="1" applyAlignment="1">
      <alignment horizontal="center" vertical="center"/>
    </xf>
    <xf numFmtId="44" fontId="30" fillId="0" borderId="23" xfId="0" applyNumberFormat="1" applyFont="1" applyBorder="1" applyAlignment="1">
      <alignment horizontal="center" vertical="center"/>
    </xf>
    <xf numFmtId="44" fontId="21" fillId="0" borderId="54" xfId="1" applyFont="1" applyBorder="1" applyAlignment="1">
      <alignment horizontal="center" vertical="center"/>
    </xf>
    <xf numFmtId="44" fontId="22" fillId="0" borderId="57" xfId="1" applyFont="1" applyBorder="1" applyAlignment="1">
      <alignment horizontal="center" vertical="center"/>
    </xf>
    <xf numFmtId="0" fontId="26" fillId="2" borderId="51" xfId="0" applyFont="1" applyFill="1" applyBorder="1" applyAlignment="1">
      <alignment horizontal="center" vertical="center"/>
    </xf>
    <xf numFmtId="0" fontId="26" fillId="2" borderId="9" xfId="0" applyFont="1" applyFill="1" applyBorder="1" applyAlignment="1">
      <alignment horizontal="center" vertic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8" xfId="0" applyBorder="1" applyAlignment="1">
      <alignment horizontal="center"/>
    </xf>
    <xf numFmtId="0" fontId="4" fillId="0" borderId="27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0" fontId="4" fillId="0" borderId="25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17" fillId="0" borderId="25" xfId="0" applyFont="1" applyBorder="1" applyAlignment="1">
      <alignment horizontal="center" vertical="center"/>
    </xf>
    <xf numFmtId="0" fontId="17" fillId="0" borderId="24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4" fillId="0" borderId="24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14" fontId="4" fillId="0" borderId="27" xfId="0" applyNumberFormat="1" applyFont="1" applyBorder="1" applyAlignment="1">
      <alignment horizontal="center" vertical="center"/>
    </xf>
    <xf numFmtId="14" fontId="4" fillId="0" borderId="30" xfId="0" applyNumberFormat="1" applyFont="1" applyBorder="1" applyAlignment="1">
      <alignment horizontal="center" vertical="center"/>
    </xf>
    <xf numFmtId="14" fontId="4" fillId="0" borderId="26" xfId="0" applyNumberFormat="1" applyFont="1" applyBorder="1" applyAlignment="1">
      <alignment horizontal="center" vertical="center"/>
    </xf>
    <xf numFmtId="14" fontId="4" fillId="0" borderId="24" xfId="0" applyNumberFormat="1" applyFont="1" applyBorder="1" applyAlignment="1">
      <alignment horizontal="center" vertical="center"/>
    </xf>
    <xf numFmtId="14" fontId="4" fillId="0" borderId="18" xfId="0" applyNumberFormat="1" applyFont="1" applyBorder="1" applyAlignment="1">
      <alignment horizontal="center" vertical="center"/>
    </xf>
    <xf numFmtId="8" fontId="15" fillId="0" borderId="27" xfId="0" applyNumberFormat="1" applyFont="1" applyBorder="1" applyAlignment="1">
      <alignment horizontal="center" vertical="center" wrapText="1"/>
    </xf>
    <xf numFmtId="0" fontId="15" fillId="0" borderId="24" xfId="0" applyFont="1" applyBorder="1" applyAlignment="1">
      <alignment horizontal="center" vertical="center"/>
    </xf>
    <xf numFmtId="0" fontId="15" fillId="0" borderId="18" xfId="0" applyFont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8" fontId="4" fillId="0" borderId="26" xfId="0" applyNumberFormat="1" applyFont="1" applyBorder="1" applyAlignment="1">
      <alignment horizontal="center"/>
    </xf>
    <xf numFmtId="0" fontId="7" fillId="2" borderId="6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4" fillId="0" borderId="26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/>
    </xf>
    <xf numFmtId="0" fontId="16" fillId="4" borderId="25" xfId="0" applyFont="1" applyFill="1" applyBorder="1" applyAlignment="1">
      <alignment horizontal="center" vertical="center" wrapText="1"/>
    </xf>
    <xf numFmtId="0" fontId="16" fillId="4" borderId="30" xfId="0" applyFont="1" applyFill="1" applyBorder="1" applyAlignment="1">
      <alignment horizontal="center" vertical="center" wrapText="1"/>
    </xf>
    <xf numFmtId="0" fontId="16" fillId="4" borderId="21" xfId="0" applyFont="1" applyFill="1" applyBorder="1" applyAlignment="1">
      <alignment horizontal="center" vertical="center" wrapText="1"/>
    </xf>
    <xf numFmtId="0" fontId="16" fillId="4" borderId="44" xfId="0" applyFont="1" applyFill="1" applyBorder="1" applyAlignment="1">
      <alignment horizontal="center" vertical="center" wrapText="1"/>
    </xf>
    <xf numFmtId="0" fontId="16" fillId="4" borderId="17" xfId="0" applyFont="1" applyFill="1" applyBorder="1" applyAlignment="1">
      <alignment horizontal="center" vertical="center" wrapText="1"/>
    </xf>
    <xf numFmtId="0" fontId="16" fillId="4" borderId="15" xfId="0" applyFont="1" applyFill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/>
    </xf>
    <xf numFmtId="0" fontId="8" fillId="0" borderId="24" xfId="0" applyFont="1" applyBorder="1" applyAlignment="1">
      <alignment horizontal="center"/>
    </xf>
    <xf numFmtId="0" fontId="8" fillId="0" borderId="18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4" fillId="0" borderId="16" xfId="0" applyFont="1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/>
    </xf>
    <xf numFmtId="0" fontId="22" fillId="2" borderId="2" xfId="0" applyFont="1" applyFill="1" applyBorder="1" applyAlignment="1">
      <alignment horizontal="center" vertical="center"/>
    </xf>
    <xf numFmtId="0" fontId="22" fillId="2" borderId="3" xfId="0" applyFont="1" applyFill="1" applyBorder="1" applyAlignment="1">
      <alignment horizontal="center" vertical="center"/>
    </xf>
    <xf numFmtId="0" fontId="35" fillId="3" borderId="16" xfId="0" applyFont="1" applyFill="1" applyBorder="1" applyAlignment="1">
      <alignment horizontal="center" vertical="top" wrapText="1"/>
    </xf>
    <xf numFmtId="0" fontId="36" fillId="0" borderId="16" xfId="0" applyFont="1" applyBorder="1" applyAlignment="1">
      <alignment horizontal="center" vertical="top"/>
    </xf>
    <xf numFmtId="0" fontId="34" fillId="0" borderId="1" xfId="0" applyFont="1" applyBorder="1" applyAlignment="1">
      <alignment horizontal="center" vertical="center" wrapText="1"/>
    </xf>
    <xf numFmtId="0" fontId="34" fillId="0" borderId="2" xfId="0" applyFont="1" applyBorder="1" applyAlignment="1">
      <alignment horizontal="center" vertical="center" wrapText="1"/>
    </xf>
    <xf numFmtId="0" fontId="34" fillId="0" borderId="3" xfId="0" applyFont="1" applyBorder="1" applyAlignment="1">
      <alignment horizontal="center" vertical="center" wrapText="1"/>
    </xf>
    <xf numFmtId="0" fontId="34" fillId="0" borderId="4" xfId="0" applyFont="1" applyBorder="1" applyAlignment="1">
      <alignment horizontal="center" vertical="center" wrapText="1"/>
    </xf>
    <xf numFmtId="0" fontId="34" fillId="0" borderId="5" xfId="0" applyFont="1" applyBorder="1" applyAlignment="1">
      <alignment horizontal="center" vertical="center" wrapText="1"/>
    </xf>
    <xf numFmtId="0" fontId="34" fillId="0" borderId="46" xfId="0" applyFont="1" applyBorder="1" applyAlignment="1">
      <alignment horizontal="center" vertical="center" wrapText="1"/>
    </xf>
    <xf numFmtId="0" fontId="37" fillId="5" borderId="1" xfId="0" applyFont="1" applyFill="1" applyBorder="1" applyAlignment="1">
      <alignment horizontal="center" vertical="center" wrapText="1" shrinkToFit="1"/>
    </xf>
    <xf numFmtId="0" fontId="37" fillId="5" borderId="2" xfId="0" applyFont="1" applyFill="1" applyBorder="1" applyAlignment="1">
      <alignment horizontal="center" vertical="center" wrapText="1" shrinkToFit="1"/>
    </xf>
    <xf numFmtId="0" fontId="37" fillId="5" borderId="3" xfId="0" applyFont="1" applyFill="1" applyBorder="1" applyAlignment="1">
      <alignment horizontal="center" vertical="center" wrapText="1" shrinkToFit="1"/>
    </xf>
    <xf numFmtId="0" fontId="37" fillId="5" borderId="4" xfId="0" applyFont="1" applyFill="1" applyBorder="1" applyAlignment="1">
      <alignment horizontal="center" vertical="center" wrapText="1" shrinkToFit="1"/>
    </xf>
    <xf numFmtId="0" fontId="37" fillId="5" borderId="5" xfId="0" applyFont="1" applyFill="1" applyBorder="1" applyAlignment="1">
      <alignment horizontal="center" vertical="center" wrapText="1" shrinkToFit="1"/>
    </xf>
    <xf numFmtId="0" fontId="37" fillId="5" borderId="46" xfId="0" applyFont="1" applyFill="1" applyBorder="1" applyAlignment="1">
      <alignment horizontal="center" vertical="center" wrapText="1" shrinkToFit="1"/>
    </xf>
    <xf numFmtId="0" fontId="22" fillId="2" borderId="6" xfId="0" applyFont="1" applyFill="1" applyBorder="1" applyAlignment="1">
      <alignment horizontal="center" vertical="center"/>
    </xf>
    <xf numFmtId="0" fontId="22" fillId="2" borderId="7" xfId="0" applyFont="1" applyFill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 wrapText="1"/>
    </xf>
    <xf numFmtId="0" fontId="22" fillId="2" borderId="8" xfId="0" applyFont="1" applyFill="1" applyBorder="1" applyAlignment="1">
      <alignment horizontal="center" vertical="center"/>
    </xf>
    <xf numFmtId="0" fontId="22" fillId="2" borderId="4" xfId="0" applyFont="1" applyFill="1" applyBorder="1" applyAlignment="1">
      <alignment horizontal="center" vertical="center"/>
    </xf>
    <xf numFmtId="0" fontId="22" fillId="2" borderId="5" xfId="0" applyFont="1" applyFill="1" applyBorder="1" applyAlignment="1">
      <alignment horizontal="center" vertical="center"/>
    </xf>
    <xf numFmtId="0" fontId="22" fillId="2" borderId="46" xfId="0" applyFont="1" applyFill="1" applyBorder="1" applyAlignment="1">
      <alignment horizontal="center" vertical="center"/>
    </xf>
    <xf numFmtId="0" fontId="31" fillId="0" borderId="1" xfId="0" applyFont="1" applyBorder="1" applyAlignment="1">
      <alignment horizontal="center" vertical="center" wrapText="1"/>
    </xf>
    <xf numFmtId="0" fontId="31" fillId="0" borderId="2" xfId="0" applyFont="1" applyBorder="1" applyAlignment="1">
      <alignment horizontal="center" vertical="center" wrapText="1"/>
    </xf>
    <xf numFmtId="0" fontId="31" fillId="0" borderId="3" xfId="0" applyFont="1" applyBorder="1" applyAlignment="1">
      <alignment horizontal="center" vertical="center" wrapText="1"/>
    </xf>
    <xf numFmtId="0" fontId="31" fillId="0" borderId="11" xfId="0" applyFont="1" applyBorder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  <xf numFmtId="0" fontId="31" fillId="0" borderId="13" xfId="0" applyFont="1" applyBorder="1" applyAlignment="1">
      <alignment horizontal="center" vertical="center" wrapText="1"/>
    </xf>
    <xf numFmtId="0" fontId="31" fillId="0" borderId="4" xfId="0" applyFont="1" applyBorder="1" applyAlignment="1">
      <alignment horizontal="center" vertical="center" wrapText="1"/>
    </xf>
    <xf numFmtId="0" fontId="31" fillId="0" borderId="5" xfId="0" applyFont="1" applyBorder="1" applyAlignment="1">
      <alignment horizontal="center" vertical="center" wrapText="1"/>
    </xf>
    <xf numFmtId="0" fontId="31" fillId="0" borderId="46" xfId="0" applyFont="1" applyBorder="1" applyAlignment="1">
      <alignment horizontal="center" vertical="center" wrapText="1"/>
    </xf>
    <xf numFmtId="6" fontId="32" fillId="0" borderId="1" xfId="0" applyNumberFormat="1" applyFont="1" applyBorder="1" applyAlignment="1">
      <alignment horizontal="center" vertical="center" wrapText="1"/>
    </xf>
    <xf numFmtId="6" fontId="33" fillId="0" borderId="2" xfId="0" applyNumberFormat="1" applyFont="1" applyBorder="1" applyAlignment="1">
      <alignment horizontal="center" vertical="center" wrapText="1"/>
    </xf>
    <xf numFmtId="6" fontId="33" fillId="0" borderId="3" xfId="0" applyNumberFormat="1" applyFont="1" applyBorder="1" applyAlignment="1">
      <alignment horizontal="center" vertical="center" wrapText="1"/>
    </xf>
    <xf numFmtId="6" fontId="33" fillId="0" borderId="11" xfId="0" applyNumberFormat="1" applyFont="1" applyBorder="1" applyAlignment="1">
      <alignment horizontal="center" vertical="center" wrapText="1"/>
    </xf>
    <xf numFmtId="6" fontId="33" fillId="0" borderId="0" xfId="0" applyNumberFormat="1" applyFont="1" applyAlignment="1">
      <alignment horizontal="center" vertical="center" wrapText="1"/>
    </xf>
    <xf numFmtId="6" fontId="33" fillId="0" borderId="13" xfId="0" applyNumberFormat="1" applyFont="1" applyBorder="1" applyAlignment="1">
      <alignment horizontal="center" vertical="center" wrapText="1"/>
    </xf>
    <xf numFmtId="6" fontId="33" fillId="0" borderId="4" xfId="0" applyNumberFormat="1" applyFont="1" applyBorder="1" applyAlignment="1">
      <alignment horizontal="center" vertical="center" wrapText="1"/>
    </xf>
    <xf numFmtId="6" fontId="33" fillId="0" borderId="5" xfId="0" applyNumberFormat="1" applyFont="1" applyBorder="1" applyAlignment="1">
      <alignment horizontal="center" vertical="center" wrapText="1"/>
    </xf>
    <xf numFmtId="6" fontId="33" fillId="0" borderId="46" xfId="0" applyNumberFormat="1" applyFont="1" applyBorder="1" applyAlignment="1">
      <alignment horizontal="center" vertical="center" wrapText="1"/>
    </xf>
    <xf numFmtId="3" fontId="22" fillId="2" borderId="6" xfId="0" applyNumberFormat="1" applyFont="1" applyFill="1" applyBorder="1" applyAlignment="1">
      <alignment horizontal="center" vertical="center"/>
    </xf>
    <xf numFmtId="3" fontId="22" fillId="2" borderId="7" xfId="0" applyNumberFormat="1" applyFont="1" applyFill="1" applyBorder="1" applyAlignment="1">
      <alignment horizontal="center" vertical="center"/>
    </xf>
    <xf numFmtId="3" fontId="22" fillId="2" borderId="8" xfId="0" applyNumberFormat="1" applyFont="1" applyFill="1" applyBorder="1" applyAlignment="1">
      <alignment horizontal="center" vertical="center"/>
    </xf>
    <xf numFmtId="164" fontId="22" fillId="2" borderId="6" xfId="0" applyNumberFormat="1" applyFont="1" applyFill="1" applyBorder="1" applyAlignment="1">
      <alignment horizontal="center" vertical="center"/>
    </xf>
    <xf numFmtId="164" fontId="22" fillId="2" borderId="7" xfId="0" applyNumberFormat="1" applyFont="1" applyFill="1" applyBorder="1" applyAlignment="1">
      <alignment horizontal="center" vertical="center"/>
    </xf>
    <xf numFmtId="164" fontId="22" fillId="2" borderId="8" xfId="0" applyNumberFormat="1" applyFont="1" applyFill="1" applyBorder="1" applyAlignment="1">
      <alignment horizontal="center" vertical="center"/>
    </xf>
    <xf numFmtId="0" fontId="22" fillId="2" borderId="1" xfId="0" applyFont="1" applyFill="1" applyBorder="1" applyAlignment="1">
      <alignment horizontal="right" vertical="center" wrapText="1"/>
    </xf>
    <xf numFmtId="0" fontId="22" fillId="2" borderId="2" xfId="0" applyFont="1" applyFill="1" applyBorder="1" applyAlignment="1">
      <alignment horizontal="right" vertical="center"/>
    </xf>
    <xf numFmtId="0" fontId="22" fillId="2" borderId="3" xfId="0" applyFont="1" applyFill="1" applyBorder="1" applyAlignment="1">
      <alignment horizontal="right" vertical="center"/>
    </xf>
    <xf numFmtId="0" fontId="22" fillId="2" borderId="49" xfId="0" applyFont="1" applyFill="1" applyBorder="1" applyAlignment="1">
      <alignment horizontal="right" vertical="center"/>
    </xf>
    <xf numFmtId="0" fontId="22" fillId="2" borderId="17" xfId="0" applyFont="1" applyFill="1" applyBorder="1" applyAlignment="1">
      <alignment horizontal="right" vertical="center"/>
    </xf>
    <xf numFmtId="0" fontId="22" fillId="2" borderId="50" xfId="0" applyFont="1" applyFill="1" applyBorder="1" applyAlignment="1">
      <alignment horizontal="right" vertical="center"/>
    </xf>
    <xf numFmtId="18" fontId="25" fillId="3" borderId="1" xfId="0" applyNumberFormat="1" applyFont="1" applyFill="1" applyBorder="1" applyAlignment="1">
      <alignment horizontal="center" vertical="center" wrapText="1"/>
    </xf>
    <xf numFmtId="14" fontId="25" fillId="3" borderId="2" xfId="0" applyNumberFormat="1" applyFont="1" applyFill="1" applyBorder="1" applyAlignment="1">
      <alignment horizontal="center" vertical="center"/>
    </xf>
    <xf numFmtId="14" fontId="25" fillId="3" borderId="3" xfId="0" applyNumberFormat="1" applyFont="1" applyFill="1" applyBorder="1" applyAlignment="1">
      <alignment horizontal="center" vertical="center"/>
    </xf>
    <xf numFmtId="14" fontId="25" fillId="3" borderId="4" xfId="0" applyNumberFormat="1" applyFont="1" applyFill="1" applyBorder="1" applyAlignment="1">
      <alignment horizontal="center" vertical="center"/>
    </xf>
    <xf numFmtId="14" fontId="25" fillId="3" borderId="5" xfId="0" applyNumberFormat="1" applyFont="1" applyFill="1" applyBorder="1" applyAlignment="1">
      <alignment horizontal="center" vertical="center"/>
    </xf>
    <xf numFmtId="14" fontId="25" fillId="3" borderId="46" xfId="0" applyNumberFormat="1" applyFont="1" applyFill="1" applyBorder="1" applyAlignment="1">
      <alignment horizontal="center" vertical="center"/>
    </xf>
    <xf numFmtId="0" fontId="22" fillId="2" borderId="24" xfId="0" applyFont="1" applyFill="1" applyBorder="1" applyAlignment="1">
      <alignment horizontal="right" vertical="center" wrapText="1"/>
    </xf>
    <xf numFmtId="18" fontId="25" fillId="3" borderId="7" xfId="0" applyNumberFormat="1" applyFont="1" applyFill="1" applyBorder="1" applyAlignment="1">
      <alignment horizontal="center" vertical="center" wrapText="1"/>
    </xf>
    <xf numFmtId="14" fontId="25" fillId="3" borderId="7" xfId="0" applyNumberFormat="1" applyFont="1" applyFill="1" applyBorder="1" applyAlignment="1">
      <alignment horizontal="center" vertical="center" wrapText="1"/>
    </xf>
    <xf numFmtId="14" fontId="25" fillId="3" borderId="8" xfId="0" applyNumberFormat="1" applyFont="1" applyFill="1" applyBorder="1" applyAlignment="1">
      <alignment horizontal="center" vertical="center" wrapText="1"/>
    </xf>
    <xf numFmtId="0" fontId="22" fillId="2" borderId="16" xfId="0" applyFont="1" applyFill="1" applyBorder="1" applyAlignment="1">
      <alignment horizontal="left" vertical="center" wrapText="1"/>
    </xf>
    <xf numFmtId="14" fontId="25" fillId="3" borderId="48" xfId="0" applyNumberFormat="1" applyFont="1" applyFill="1" applyBorder="1" applyAlignment="1">
      <alignment horizontal="center" vertical="center" wrapText="1"/>
    </xf>
    <xf numFmtId="0" fontId="21" fillId="0" borderId="6" xfId="0" applyFont="1" applyBorder="1" applyAlignment="1">
      <alignment horizontal="center" vertical="center" wrapText="1"/>
    </xf>
    <xf numFmtId="0" fontId="21" fillId="0" borderId="7" xfId="0" applyFont="1" applyBorder="1" applyAlignment="1">
      <alignment horizontal="center" vertical="center" wrapText="1"/>
    </xf>
    <xf numFmtId="0" fontId="21" fillId="0" borderId="8" xfId="0" applyFont="1" applyBorder="1" applyAlignment="1">
      <alignment horizontal="center" vertical="center" wrapText="1"/>
    </xf>
    <xf numFmtId="0" fontId="26" fillId="0" borderId="6" xfId="0" applyFont="1" applyBorder="1" applyAlignment="1">
      <alignment horizontal="center" vertical="center" wrapText="1"/>
    </xf>
    <xf numFmtId="0" fontId="26" fillId="0" borderId="7" xfId="0" applyFont="1" applyBorder="1" applyAlignment="1">
      <alignment horizontal="center" vertical="center" wrapText="1"/>
    </xf>
    <xf numFmtId="0" fontId="26" fillId="0" borderId="8" xfId="0" applyFont="1" applyBorder="1" applyAlignment="1">
      <alignment horizontal="center" vertical="center" wrapText="1"/>
    </xf>
    <xf numFmtId="16" fontId="23" fillId="0" borderId="6" xfId="0" applyNumberFormat="1" applyFont="1" applyBorder="1" applyAlignment="1">
      <alignment horizontal="center" vertical="center"/>
    </xf>
    <xf numFmtId="16" fontId="23" fillId="0" borderId="7" xfId="0" applyNumberFormat="1" applyFont="1" applyBorder="1" applyAlignment="1">
      <alignment horizontal="center" vertical="center"/>
    </xf>
    <xf numFmtId="16" fontId="23" fillId="0" borderId="8" xfId="0" applyNumberFormat="1" applyFont="1" applyBorder="1" applyAlignment="1">
      <alignment horizontal="center" vertical="center"/>
    </xf>
    <xf numFmtId="15" fontId="22" fillId="0" borderId="6" xfId="0" applyNumberFormat="1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2" fillId="2" borderId="47" xfId="0" applyFont="1" applyFill="1" applyBorder="1" applyAlignment="1">
      <alignment horizontal="center" vertical="center"/>
    </xf>
    <xf numFmtId="0" fontId="22" fillId="2" borderId="48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9" fillId="2" borderId="2" xfId="0" applyFont="1" applyFill="1" applyBorder="1" applyAlignment="1">
      <alignment horizontal="center" vertical="center"/>
    </xf>
    <xf numFmtId="0" fontId="19" fillId="2" borderId="3" xfId="0" applyFont="1" applyFill="1" applyBorder="1" applyAlignment="1">
      <alignment horizontal="center" vertical="center"/>
    </xf>
    <xf numFmtId="0" fontId="19" fillId="2" borderId="4" xfId="0" applyFont="1" applyFill="1" applyBorder="1" applyAlignment="1">
      <alignment horizontal="center" vertical="center"/>
    </xf>
    <xf numFmtId="0" fontId="19" fillId="2" borderId="5" xfId="0" applyFont="1" applyFill="1" applyBorder="1" applyAlignment="1">
      <alignment horizontal="center" vertical="center"/>
    </xf>
    <xf numFmtId="0" fontId="19" fillId="2" borderId="46" xfId="0" applyFont="1" applyFill="1" applyBorder="1" applyAlignment="1">
      <alignment horizontal="center" vertical="center"/>
    </xf>
    <xf numFmtId="0" fontId="20" fillId="2" borderId="6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0" fillId="2" borderId="8" xfId="0" applyFont="1" applyFill="1" applyBorder="1" applyAlignment="1">
      <alignment horizontal="center" vertical="center"/>
    </xf>
    <xf numFmtId="14" fontId="21" fillId="0" borderId="6" xfId="0" applyNumberFormat="1" applyFont="1" applyBorder="1" applyAlignment="1">
      <alignment horizontal="center" vertical="center"/>
    </xf>
    <xf numFmtId="14" fontId="21" fillId="0" borderId="7" xfId="0" applyNumberFormat="1" applyFont="1" applyBorder="1" applyAlignment="1">
      <alignment horizontal="center" vertical="center"/>
    </xf>
    <xf numFmtId="14" fontId="21" fillId="0" borderId="8" xfId="0" applyNumberFormat="1" applyFont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1"/>
  <sheetViews>
    <sheetView tabSelected="1" workbookViewId="0">
      <selection activeCell="B12" sqref="B12:B13"/>
    </sheetView>
  </sheetViews>
  <sheetFormatPr baseColWidth="10" defaultRowHeight="15" x14ac:dyDescent="0.25"/>
  <cols>
    <col min="6" max="6" width="13.28515625" customWidth="1"/>
    <col min="7" max="7" width="14.85546875" customWidth="1"/>
  </cols>
  <sheetData>
    <row r="1" spans="1:8" ht="18" x14ac:dyDescent="0.25">
      <c r="A1" s="121" t="s">
        <v>46</v>
      </c>
      <c r="B1" s="122"/>
      <c r="C1" s="122"/>
      <c r="D1" s="122"/>
      <c r="E1" s="122"/>
      <c r="F1" s="122"/>
      <c r="G1" s="123"/>
    </row>
    <row r="2" spans="1:8" ht="18.75" thickBot="1" x14ac:dyDescent="0.3">
      <c r="A2" s="124" t="s">
        <v>89</v>
      </c>
      <c r="B2" s="125"/>
      <c r="C2" s="125"/>
      <c r="D2" s="125"/>
      <c r="E2" s="126"/>
      <c r="F2" s="126"/>
      <c r="G2" s="127"/>
    </row>
    <row r="3" spans="1:8" ht="16.5" thickBot="1" x14ac:dyDescent="0.3">
      <c r="A3" s="1"/>
      <c r="B3" s="2" t="s">
        <v>1</v>
      </c>
      <c r="C3" s="3">
        <v>46100</v>
      </c>
      <c r="D3" s="4" t="s">
        <v>2</v>
      </c>
      <c r="E3" s="128" t="s">
        <v>87</v>
      </c>
      <c r="F3" s="129"/>
      <c r="G3" s="130"/>
    </row>
    <row r="4" spans="1:8" ht="16.5" thickBot="1" x14ac:dyDescent="0.3">
      <c r="A4" s="5" t="s">
        <v>3</v>
      </c>
      <c r="B4" s="128" t="s">
        <v>87</v>
      </c>
      <c r="C4" s="129"/>
      <c r="D4" s="130"/>
      <c r="E4" s="6" t="s">
        <v>4</v>
      </c>
      <c r="F4" s="131"/>
      <c r="G4" s="132"/>
    </row>
    <row r="5" spans="1:8" ht="15.75" thickBot="1" x14ac:dyDescent="0.3">
      <c r="A5" s="7" t="s">
        <v>5</v>
      </c>
      <c r="B5" s="117"/>
      <c r="C5" s="118"/>
      <c r="D5" s="8"/>
      <c r="E5" s="4" t="s">
        <v>6</v>
      </c>
      <c r="F5" s="119"/>
      <c r="G5" s="120"/>
    </row>
    <row r="6" spans="1:8" ht="15.75" thickBot="1" x14ac:dyDescent="0.3">
      <c r="A6" s="7" t="s">
        <v>7</v>
      </c>
      <c r="B6" s="133" t="s">
        <v>88</v>
      </c>
      <c r="C6" s="134"/>
      <c r="D6" s="5" t="s">
        <v>8</v>
      </c>
      <c r="E6" s="135"/>
      <c r="F6" s="118"/>
      <c r="G6" s="136"/>
    </row>
    <row r="7" spans="1:8" ht="15.75" thickBot="1" x14ac:dyDescent="0.3">
      <c r="A7" s="7" t="s">
        <v>9</v>
      </c>
      <c r="B7" s="133" t="s">
        <v>48</v>
      </c>
      <c r="C7" s="134"/>
      <c r="D7" s="5" t="s">
        <v>10</v>
      </c>
      <c r="E7" s="135"/>
      <c r="F7" s="118"/>
      <c r="G7" s="136"/>
    </row>
    <row r="8" spans="1:8" ht="23.25" thickBot="1" x14ac:dyDescent="0.3">
      <c r="A8" s="9" t="s">
        <v>11</v>
      </c>
      <c r="B8" s="137">
        <v>46113</v>
      </c>
      <c r="C8" s="138"/>
      <c r="D8" s="10" t="s">
        <v>12</v>
      </c>
      <c r="E8" s="139">
        <v>46115</v>
      </c>
      <c r="F8" s="140"/>
      <c r="G8" s="141"/>
    </row>
    <row r="9" spans="1:8" ht="15.75" thickBot="1" x14ac:dyDescent="0.3">
      <c r="A9" s="11"/>
      <c r="B9" s="12"/>
      <c r="C9" s="145" t="s">
        <v>13</v>
      </c>
      <c r="D9" s="146"/>
      <c r="E9" s="147">
        <v>0.70833333333333337</v>
      </c>
      <c r="F9" s="118"/>
      <c r="G9" s="136"/>
    </row>
    <row r="10" spans="1:8" ht="15.75" thickBot="1" x14ac:dyDescent="0.3">
      <c r="A10" s="13"/>
      <c r="B10" s="14" t="s">
        <v>14</v>
      </c>
      <c r="C10" s="15" t="s">
        <v>15</v>
      </c>
      <c r="D10" s="15" t="s">
        <v>16</v>
      </c>
      <c r="E10" s="16" t="s">
        <v>17</v>
      </c>
      <c r="F10" s="17" t="s">
        <v>18</v>
      </c>
      <c r="G10" s="18" t="s">
        <v>19</v>
      </c>
    </row>
    <row r="11" spans="1:8" ht="15.75" thickBot="1" x14ac:dyDescent="0.3">
      <c r="A11" s="19" t="s">
        <v>52</v>
      </c>
      <c r="B11" s="78">
        <v>0</v>
      </c>
      <c r="C11" s="20"/>
      <c r="D11" s="20">
        <f>C11</f>
        <v>0</v>
      </c>
      <c r="E11" s="21"/>
      <c r="F11" s="76">
        <f>B11*C11*E11</f>
        <v>0</v>
      </c>
      <c r="G11" s="22"/>
    </row>
    <row r="12" spans="1:8" ht="15.75" thickBot="1" x14ac:dyDescent="0.3">
      <c r="A12" s="23" t="s">
        <v>20</v>
      </c>
      <c r="B12" s="74">
        <v>1255</v>
      </c>
      <c r="C12" s="24">
        <v>10</v>
      </c>
      <c r="D12" s="25">
        <f>C12*2</f>
        <v>20</v>
      </c>
      <c r="E12" s="72">
        <v>2</v>
      </c>
      <c r="F12" s="77">
        <f>B12*C12*E12</f>
        <v>25100</v>
      </c>
      <c r="G12" s="27" t="s">
        <v>21</v>
      </c>
    </row>
    <row r="13" spans="1:8" ht="15.75" thickBot="1" x14ac:dyDescent="0.3">
      <c r="A13" s="23" t="s">
        <v>55</v>
      </c>
      <c r="B13" s="74">
        <v>1420</v>
      </c>
      <c r="C13" s="24">
        <v>1</v>
      </c>
      <c r="D13" s="25">
        <f>C13*3</f>
        <v>3</v>
      </c>
      <c r="E13" s="26">
        <v>2</v>
      </c>
      <c r="F13" s="77">
        <f>B13*C13*E13</f>
        <v>2840</v>
      </c>
      <c r="G13" s="28">
        <v>240</v>
      </c>
    </row>
    <row r="14" spans="1:8" ht="15.75" thickBot="1" x14ac:dyDescent="0.3">
      <c r="A14" s="29" t="s">
        <v>47</v>
      </c>
      <c r="B14" s="75">
        <v>0</v>
      </c>
      <c r="C14" s="24"/>
      <c r="D14" s="25">
        <f>C14*4</f>
        <v>0</v>
      </c>
      <c r="E14" s="26"/>
      <c r="F14" s="30">
        <f>B14*C14*E14</f>
        <v>0</v>
      </c>
      <c r="G14" s="31"/>
    </row>
    <row r="15" spans="1:8" ht="15.75" thickBot="1" x14ac:dyDescent="0.3">
      <c r="A15" s="29" t="s">
        <v>50</v>
      </c>
      <c r="B15" s="75">
        <v>0</v>
      </c>
      <c r="C15" s="24"/>
      <c r="D15" s="25"/>
      <c r="E15" s="26"/>
      <c r="F15" s="32">
        <f>B15*E15</f>
        <v>0</v>
      </c>
      <c r="G15" s="33" t="s">
        <v>22</v>
      </c>
      <c r="H15" s="70"/>
    </row>
    <row r="16" spans="1:8" ht="15.75" thickBot="1" x14ac:dyDescent="0.3">
      <c r="A16" s="9"/>
      <c r="B16" s="34"/>
      <c r="C16" s="35">
        <f>C12+C11+C15+C13+C14</f>
        <v>11</v>
      </c>
      <c r="D16" s="36">
        <f>D12+D11+D15+D13+D14</f>
        <v>23</v>
      </c>
      <c r="E16" s="37" t="s">
        <v>23</v>
      </c>
      <c r="F16" s="79">
        <f>SUM(F11:F15)</f>
        <v>27940</v>
      </c>
      <c r="G16" s="71">
        <v>216</v>
      </c>
    </row>
    <row r="17" spans="1:10" x14ac:dyDescent="0.25">
      <c r="A17" s="38"/>
      <c r="B17" s="39"/>
      <c r="C17" s="40"/>
      <c r="D17" s="41"/>
      <c r="E17" s="42" t="s">
        <v>38</v>
      </c>
      <c r="F17" s="43">
        <f>NOTIFICACION!D23</f>
        <v>7920</v>
      </c>
      <c r="G17" s="44"/>
    </row>
    <row r="18" spans="1:10" ht="15.75" thickBot="1" x14ac:dyDescent="0.3">
      <c r="A18" s="38"/>
      <c r="B18" s="39"/>
      <c r="C18" s="40"/>
      <c r="D18" s="41"/>
      <c r="E18" s="45" t="s">
        <v>24</v>
      </c>
      <c r="F18" s="46">
        <f>G13+G16</f>
        <v>456</v>
      </c>
      <c r="G18" s="44"/>
    </row>
    <row r="19" spans="1:10" ht="26.25" thickBot="1" x14ac:dyDescent="0.3">
      <c r="A19" s="38"/>
      <c r="B19" s="38"/>
      <c r="C19" s="40"/>
      <c r="D19" s="41"/>
      <c r="E19" s="47" t="s">
        <v>25</v>
      </c>
      <c r="F19" s="48">
        <f>F17+F16+F18</f>
        <v>36316</v>
      </c>
      <c r="G19" s="49"/>
    </row>
    <row r="20" spans="1:10" ht="15.75" thickBot="1" x14ac:dyDescent="0.3">
      <c r="A20" s="148" t="s">
        <v>26</v>
      </c>
      <c r="B20" s="149"/>
      <c r="C20" s="50"/>
      <c r="D20" s="51"/>
      <c r="E20" s="51"/>
      <c r="F20" s="52"/>
      <c r="G20" s="44"/>
    </row>
    <row r="21" spans="1:10" ht="15.75" thickBot="1" x14ac:dyDescent="0.3">
      <c r="A21" s="53"/>
      <c r="B21" s="53"/>
      <c r="C21" s="54"/>
      <c r="D21" s="51"/>
      <c r="E21" s="51"/>
      <c r="F21" s="52"/>
      <c r="G21" s="55"/>
    </row>
    <row r="22" spans="1:10" ht="15.75" thickBot="1" x14ac:dyDescent="0.3">
      <c r="A22" s="56" t="s">
        <v>27</v>
      </c>
      <c r="B22" s="135" t="s">
        <v>56</v>
      </c>
      <c r="C22" s="118"/>
      <c r="D22" s="118"/>
      <c r="E22" s="118"/>
      <c r="F22" s="118"/>
      <c r="G22" s="136"/>
    </row>
    <row r="23" spans="1:10" x14ac:dyDescent="0.25">
      <c r="A23" s="57"/>
      <c r="B23" s="150"/>
      <c r="C23" s="133"/>
      <c r="D23" s="133"/>
      <c r="E23" s="133"/>
      <c r="F23" s="133"/>
      <c r="G23" s="151"/>
      <c r="J23" t="s">
        <v>54</v>
      </c>
    </row>
    <row r="24" spans="1:10" ht="15.75" thickBot="1" x14ac:dyDescent="0.3">
      <c r="A24" s="57"/>
      <c r="B24" s="152"/>
      <c r="C24" s="153"/>
      <c r="D24" s="153"/>
      <c r="E24" s="153"/>
      <c r="F24" s="153"/>
      <c r="G24" s="154"/>
    </row>
    <row r="25" spans="1:10" ht="15.75" thickBot="1" x14ac:dyDescent="0.3">
      <c r="A25" s="56" t="s">
        <v>28</v>
      </c>
      <c r="B25" s="135" t="s">
        <v>29</v>
      </c>
      <c r="C25" s="118"/>
      <c r="D25" s="118"/>
      <c r="E25" s="118"/>
      <c r="F25" s="118"/>
      <c r="G25" s="136"/>
    </row>
    <row r="26" spans="1:10" x14ac:dyDescent="0.25">
      <c r="A26" s="11"/>
      <c r="B26" s="135" t="s">
        <v>30</v>
      </c>
      <c r="C26" s="118"/>
      <c r="D26" s="118"/>
      <c r="E26" s="118"/>
      <c r="F26" s="118"/>
      <c r="G26" s="136"/>
    </row>
    <row r="27" spans="1:10" ht="15.75" thickBot="1" x14ac:dyDescent="0.3">
      <c r="A27" s="11"/>
      <c r="B27" s="155"/>
      <c r="C27" s="155"/>
      <c r="D27" s="155"/>
      <c r="E27" s="155"/>
      <c r="F27" s="155"/>
      <c r="G27" s="155"/>
    </row>
    <row r="28" spans="1:10" ht="15.75" thickBot="1" x14ac:dyDescent="0.3">
      <c r="A28" s="56" t="s">
        <v>0</v>
      </c>
      <c r="B28" s="156" t="s">
        <v>53</v>
      </c>
      <c r="C28" s="157"/>
      <c r="D28" s="157"/>
      <c r="E28" s="157"/>
      <c r="F28" s="157"/>
      <c r="G28" s="158"/>
    </row>
    <row r="29" spans="1:10" ht="21" customHeight="1" thickBot="1" x14ac:dyDescent="0.3">
      <c r="A29" s="11"/>
      <c r="B29" s="159"/>
      <c r="C29" s="160"/>
      <c r="D29" s="160"/>
      <c r="E29" s="160"/>
      <c r="F29" s="160"/>
      <c r="G29" s="161"/>
    </row>
    <row r="30" spans="1:10" ht="39" customHeight="1" thickBot="1" x14ac:dyDescent="0.3">
      <c r="A30" s="5" t="s">
        <v>31</v>
      </c>
      <c r="B30" s="162" t="s">
        <v>84</v>
      </c>
      <c r="C30" s="133"/>
      <c r="D30" s="133"/>
      <c r="E30" s="133"/>
      <c r="F30" s="133"/>
      <c r="G30" s="151"/>
    </row>
    <row r="31" spans="1:10" ht="26.25" customHeight="1" x14ac:dyDescent="0.25">
      <c r="A31" s="58" t="s">
        <v>32</v>
      </c>
      <c r="B31" s="142" t="s">
        <v>51</v>
      </c>
      <c r="C31" s="143"/>
      <c r="D31" s="143"/>
      <c r="E31" s="143"/>
      <c r="F31" s="143"/>
      <c r="G31" s="144"/>
    </row>
    <row r="32" spans="1:10" x14ac:dyDescent="0.25">
      <c r="A32" s="59" t="s">
        <v>33</v>
      </c>
      <c r="B32" s="114" t="s">
        <v>94</v>
      </c>
      <c r="C32" s="115"/>
      <c r="D32" s="115"/>
      <c r="E32" s="115"/>
      <c r="F32" s="115"/>
      <c r="G32" s="116"/>
    </row>
    <row r="33" spans="1:11" ht="15.75" thickBot="1" x14ac:dyDescent="0.3">
      <c r="A33" s="60" t="s">
        <v>34</v>
      </c>
      <c r="B33" s="166"/>
      <c r="C33" s="167"/>
      <c r="D33" s="167"/>
      <c r="E33" s="167"/>
      <c r="F33" s="167"/>
      <c r="G33" s="168"/>
    </row>
    <row r="34" spans="1:11" ht="21.75" customHeight="1" thickBot="1" x14ac:dyDescent="0.3">
      <c r="A34" s="61" t="s">
        <v>35</v>
      </c>
      <c r="B34" s="114"/>
      <c r="C34" s="115"/>
      <c r="D34" s="115"/>
      <c r="E34" s="115"/>
      <c r="F34" s="115"/>
      <c r="G34" s="116"/>
    </row>
    <row r="35" spans="1:11" x14ac:dyDescent="0.25">
      <c r="A35" s="58" t="s">
        <v>36</v>
      </c>
      <c r="B35" s="151"/>
      <c r="C35" s="169"/>
      <c r="D35" s="169"/>
      <c r="E35" s="169"/>
      <c r="F35" s="169"/>
      <c r="G35" s="169"/>
    </row>
    <row r="36" spans="1:11" x14ac:dyDescent="0.25">
      <c r="A36" s="62" t="s">
        <v>37</v>
      </c>
      <c r="B36" s="151"/>
      <c r="C36" s="169"/>
      <c r="D36" s="169"/>
      <c r="E36" s="169"/>
      <c r="F36" s="169"/>
      <c r="G36" s="169"/>
    </row>
    <row r="37" spans="1:11" x14ac:dyDescent="0.25">
      <c r="A37" s="63" t="s">
        <v>38</v>
      </c>
      <c r="B37" s="151" t="s">
        <v>92</v>
      </c>
      <c r="C37" s="169"/>
      <c r="D37" s="169"/>
      <c r="E37" s="169"/>
      <c r="F37" s="169"/>
      <c r="G37" s="169"/>
      <c r="K37" t="s">
        <v>49</v>
      </c>
    </row>
    <row r="38" spans="1:11" x14ac:dyDescent="0.25">
      <c r="A38" s="64" t="s">
        <v>39</v>
      </c>
      <c r="B38" s="163"/>
      <c r="C38" s="164"/>
      <c r="D38" s="164"/>
      <c r="E38" s="164"/>
      <c r="F38" s="164"/>
      <c r="G38" s="165"/>
    </row>
    <row r="39" spans="1:11" x14ac:dyDescent="0.25">
      <c r="A39" s="73"/>
      <c r="B39" s="38"/>
      <c r="C39" s="38"/>
      <c r="D39" s="38"/>
      <c r="E39" s="38"/>
      <c r="F39" s="38"/>
      <c r="G39" s="38"/>
    </row>
    <row r="40" spans="1:11" ht="22.5" x14ac:dyDescent="0.25">
      <c r="A40" s="65" t="s">
        <v>40</v>
      </c>
      <c r="B40" s="65" t="s">
        <v>41</v>
      </c>
      <c r="C40" s="65" t="s">
        <v>86</v>
      </c>
      <c r="D40" s="66" t="s">
        <v>42</v>
      </c>
      <c r="E40" s="66" t="s">
        <v>43</v>
      </c>
      <c r="F40" s="67" t="s">
        <v>44</v>
      </c>
      <c r="G40" s="68" t="s">
        <v>45</v>
      </c>
    </row>
    <row r="41" spans="1:11" x14ac:dyDescent="0.25">
      <c r="A41" s="69"/>
      <c r="B41" s="69"/>
      <c r="C41" s="69"/>
      <c r="D41" s="69"/>
      <c r="E41" s="69"/>
      <c r="F41" s="69"/>
      <c r="G41" s="69"/>
    </row>
  </sheetData>
  <mergeCells count="32">
    <mergeCell ref="B38:G38"/>
    <mergeCell ref="B33:G33"/>
    <mergeCell ref="B34:G34"/>
    <mergeCell ref="B35:G35"/>
    <mergeCell ref="B36:G36"/>
    <mergeCell ref="B37:G37"/>
    <mergeCell ref="B25:G25"/>
    <mergeCell ref="B26:G26"/>
    <mergeCell ref="B27:G27"/>
    <mergeCell ref="B28:G29"/>
    <mergeCell ref="B30:G30"/>
    <mergeCell ref="E9:G9"/>
    <mergeCell ref="A20:B20"/>
    <mergeCell ref="B22:G22"/>
    <mergeCell ref="B23:G23"/>
    <mergeCell ref="B24:G24"/>
    <mergeCell ref="B32:G32"/>
    <mergeCell ref="B5:C5"/>
    <mergeCell ref="F5:G5"/>
    <mergeCell ref="A1:G1"/>
    <mergeCell ref="A2:G2"/>
    <mergeCell ref="E3:G3"/>
    <mergeCell ref="B4:D4"/>
    <mergeCell ref="F4:G4"/>
    <mergeCell ref="B6:C6"/>
    <mergeCell ref="E6:G6"/>
    <mergeCell ref="B7:C7"/>
    <mergeCell ref="E7:G7"/>
    <mergeCell ref="B8:C8"/>
    <mergeCell ref="E8:G8"/>
    <mergeCell ref="B31:G31"/>
    <mergeCell ref="C9:D9"/>
  </mergeCells>
  <pageMargins left="0.7" right="0.7" top="0.75" bottom="0.75" header="0.3" footer="0.3"/>
  <pageSetup scale="98" fitToWidth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31413-E6F5-43AB-AAFF-22184BB39FDB}">
  <sheetPr>
    <pageSetUpPr fitToPage="1"/>
  </sheetPr>
  <dimension ref="A1:I36"/>
  <sheetViews>
    <sheetView topLeftCell="A11" workbookViewId="0">
      <selection activeCell="C20" sqref="C20"/>
    </sheetView>
  </sheetViews>
  <sheetFormatPr baseColWidth="10" defaultRowHeight="15" x14ac:dyDescent="0.25"/>
  <cols>
    <col min="3" max="3" width="14.85546875" customWidth="1"/>
    <col min="4" max="4" width="16.42578125" customWidth="1"/>
    <col min="5" max="5" width="13" customWidth="1"/>
    <col min="6" max="6" width="15.140625" customWidth="1"/>
    <col min="7" max="7" width="5.85546875" customWidth="1"/>
  </cols>
  <sheetData>
    <row r="1" spans="1:9" x14ac:dyDescent="0.25">
      <c r="A1" s="257" t="s">
        <v>98</v>
      </c>
      <c r="B1" s="258"/>
      <c r="C1" s="258"/>
      <c r="D1" s="258"/>
      <c r="E1" s="258"/>
      <c r="F1" s="259"/>
    </row>
    <row r="2" spans="1:9" ht="15.75" thickBot="1" x14ac:dyDescent="0.3">
      <c r="A2" s="260"/>
      <c r="B2" s="261"/>
      <c r="C2" s="261"/>
      <c r="D2" s="261"/>
      <c r="E2" s="261"/>
      <c r="F2" s="262"/>
    </row>
    <row r="3" spans="1:9" ht="19.5" thickBot="1" x14ac:dyDescent="0.3">
      <c r="A3" s="263"/>
      <c r="B3" s="264"/>
      <c r="C3" s="265"/>
      <c r="D3" s="263" t="s">
        <v>57</v>
      </c>
      <c r="E3" s="264"/>
      <c r="F3" s="265"/>
    </row>
    <row r="4" spans="1:9" ht="16.5" thickBot="1" x14ac:dyDescent="0.3">
      <c r="A4" s="266">
        <f ca="1">TODAY()</f>
        <v>46100</v>
      </c>
      <c r="B4" s="267"/>
      <c r="C4" s="268"/>
      <c r="D4" s="269" t="s">
        <v>96</v>
      </c>
      <c r="E4" s="270"/>
      <c r="F4" s="270"/>
    </row>
    <row r="5" spans="1:9" ht="16.5" thickBot="1" x14ac:dyDescent="0.3">
      <c r="A5" s="187" t="s">
        <v>58</v>
      </c>
      <c r="B5" s="188"/>
      <c r="C5" s="194"/>
      <c r="D5" s="187"/>
      <c r="E5" s="188"/>
      <c r="F5" s="194"/>
    </row>
    <row r="6" spans="1:9" ht="19.5" thickBot="1" x14ac:dyDescent="0.3">
      <c r="A6" s="246" t="s">
        <v>87</v>
      </c>
      <c r="B6" s="247"/>
      <c r="C6" s="248"/>
      <c r="D6" s="249" t="s">
        <v>90</v>
      </c>
      <c r="E6" s="250"/>
      <c r="F6" s="251"/>
    </row>
    <row r="7" spans="1:9" ht="18.75" thickBot="1" x14ac:dyDescent="0.3">
      <c r="A7" s="252"/>
      <c r="B7" s="253"/>
      <c r="C7" s="254"/>
      <c r="D7" s="80" t="s">
        <v>59</v>
      </c>
      <c r="E7" s="189" t="s">
        <v>48</v>
      </c>
      <c r="F7" s="190"/>
      <c r="I7" s="81"/>
    </row>
    <row r="8" spans="1:9" ht="16.5" thickBot="1" x14ac:dyDescent="0.3">
      <c r="A8" s="187" t="s">
        <v>60</v>
      </c>
      <c r="B8" s="188"/>
      <c r="C8" s="255"/>
      <c r="D8" s="256"/>
      <c r="E8" s="188"/>
      <c r="F8" s="194"/>
    </row>
    <row r="9" spans="1:9" ht="16.5" customHeight="1" x14ac:dyDescent="0.25">
      <c r="A9" s="222"/>
      <c r="B9" s="223"/>
      <c r="C9" s="224"/>
      <c r="D9" s="228"/>
      <c r="E9" s="229"/>
      <c r="F9" s="230"/>
    </row>
    <row r="10" spans="1:9" ht="10.5" customHeight="1" thickBot="1" x14ac:dyDescent="0.3">
      <c r="A10" s="225"/>
      <c r="B10" s="226"/>
      <c r="C10" s="227"/>
      <c r="D10" s="231"/>
      <c r="E10" s="232"/>
      <c r="F10" s="233"/>
    </row>
    <row r="11" spans="1:9" ht="27.75" customHeight="1" thickBot="1" x14ac:dyDescent="0.3">
      <c r="A11" s="234" t="s">
        <v>91</v>
      </c>
      <c r="B11" s="234"/>
      <c r="C11" s="234"/>
      <c r="D11" s="235" t="s">
        <v>97</v>
      </c>
      <c r="E11" s="236"/>
      <c r="F11" s="237"/>
    </row>
    <row r="12" spans="1:9" ht="33.75" customHeight="1" thickBot="1" x14ac:dyDescent="0.3">
      <c r="A12" s="238"/>
      <c r="B12" s="238"/>
      <c r="C12" s="238"/>
      <c r="D12" s="239"/>
      <c r="E12" s="236"/>
      <c r="F12" s="237"/>
    </row>
    <row r="13" spans="1:9" ht="16.5" thickBot="1" x14ac:dyDescent="0.3">
      <c r="A13" s="195" t="s">
        <v>61</v>
      </c>
      <c r="B13" s="196"/>
      <c r="C13" s="197"/>
      <c r="D13" s="187" t="s">
        <v>62</v>
      </c>
      <c r="E13" s="188"/>
      <c r="F13" s="194"/>
    </row>
    <row r="14" spans="1:9" ht="16.5" thickBot="1" x14ac:dyDescent="0.3">
      <c r="A14" s="240" t="s">
        <v>63</v>
      </c>
      <c r="B14" s="241"/>
      <c r="C14" s="242"/>
      <c r="D14" s="243" t="s">
        <v>64</v>
      </c>
      <c r="E14" s="244"/>
      <c r="F14" s="245"/>
    </row>
    <row r="15" spans="1:9" ht="16.5" thickBot="1" x14ac:dyDescent="0.3">
      <c r="A15" s="187" t="s">
        <v>65</v>
      </c>
      <c r="B15" s="188"/>
      <c r="C15" s="171"/>
      <c r="D15" s="171"/>
      <c r="E15" s="171"/>
      <c r="F15" s="172"/>
    </row>
    <row r="16" spans="1:9" ht="31.5" customHeight="1" thickBot="1" x14ac:dyDescent="0.3">
      <c r="A16" s="82" t="s">
        <v>66</v>
      </c>
      <c r="B16" s="83"/>
      <c r="C16" s="84" t="s">
        <v>92</v>
      </c>
      <c r="D16" s="84"/>
      <c r="E16" s="84"/>
      <c r="F16" s="85"/>
    </row>
    <row r="17" spans="1:8" ht="15.75" x14ac:dyDescent="0.25">
      <c r="A17" s="86" t="s">
        <v>67</v>
      </c>
      <c r="B17" s="87"/>
      <c r="C17" s="88">
        <f>C20/1.24</f>
        <v>145.16129032258064</v>
      </c>
      <c r="D17" s="88">
        <f>D20/1.24</f>
        <v>0</v>
      </c>
      <c r="E17" s="89">
        <f>E20/1.26</f>
        <v>0</v>
      </c>
      <c r="F17" s="90"/>
    </row>
    <row r="18" spans="1:8" ht="15.75" x14ac:dyDescent="0.25">
      <c r="A18" s="91" t="s">
        <v>68</v>
      </c>
      <c r="B18" s="92">
        <v>0.16</v>
      </c>
      <c r="C18" s="93">
        <f>C17*B18</f>
        <v>23.225806451612904</v>
      </c>
      <c r="D18" s="93">
        <f>D17*B18</f>
        <v>0</v>
      </c>
      <c r="E18" s="94">
        <f>E17*B18</f>
        <v>0</v>
      </c>
      <c r="F18" s="90"/>
    </row>
    <row r="19" spans="1:8" ht="15.75" x14ac:dyDescent="0.25">
      <c r="A19" s="95" t="s">
        <v>69</v>
      </c>
      <c r="B19" s="96">
        <v>0.08</v>
      </c>
      <c r="C19" s="97">
        <f>C17*B19</f>
        <v>11.612903225806452</v>
      </c>
      <c r="D19" s="97">
        <f>D17*B19</f>
        <v>0</v>
      </c>
      <c r="E19" s="94">
        <f>E17*B19</f>
        <v>0</v>
      </c>
      <c r="F19" s="90"/>
      <c r="G19" s="98"/>
    </row>
    <row r="20" spans="1:8" ht="15.75" x14ac:dyDescent="0.25">
      <c r="A20" s="91" t="s">
        <v>70</v>
      </c>
      <c r="B20" s="99"/>
      <c r="C20" s="93">
        <v>180</v>
      </c>
      <c r="D20" s="93">
        <v>0</v>
      </c>
      <c r="E20" s="94">
        <v>0</v>
      </c>
      <c r="F20" s="100"/>
      <c r="G20" s="101"/>
      <c r="H20" s="98"/>
    </row>
    <row r="21" spans="1:8" ht="15.75" x14ac:dyDescent="0.25">
      <c r="A21" s="102" t="s">
        <v>71</v>
      </c>
      <c r="B21" s="103"/>
      <c r="C21" s="104">
        <v>22</v>
      </c>
      <c r="D21" s="104"/>
      <c r="E21" s="105"/>
      <c r="F21" s="106"/>
      <c r="G21" s="98"/>
      <c r="H21" s="98"/>
    </row>
    <row r="22" spans="1:8" ht="16.5" thickBot="1" x14ac:dyDescent="0.3">
      <c r="A22" s="107" t="s">
        <v>72</v>
      </c>
      <c r="B22" s="108">
        <v>2</v>
      </c>
      <c r="C22" s="97">
        <f>C20*C21*B22</f>
        <v>7920</v>
      </c>
      <c r="D22" s="109">
        <f>D21*D20*B22</f>
        <v>0</v>
      </c>
      <c r="E22" s="110">
        <f>E21*E20*2</f>
        <v>0</v>
      </c>
      <c r="F22" s="111"/>
      <c r="H22" s="98"/>
    </row>
    <row r="23" spans="1:8" ht="16.5" thickBot="1" x14ac:dyDescent="0.3">
      <c r="A23" s="216" t="s">
        <v>73</v>
      </c>
      <c r="B23" s="217"/>
      <c r="C23" s="218"/>
      <c r="D23" s="219">
        <f>C22+D22+E22</f>
        <v>7920</v>
      </c>
      <c r="E23" s="220"/>
      <c r="F23" s="221"/>
      <c r="H23" s="98"/>
    </row>
    <row r="24" spans="1:8" ht="16.5" thickBot="1" x14ac:dyDescent="0.3">
      <c r="A24" s="187" t="s">
        <v>74</v>
      </c>
      <c r="B24" s="188"/>
      <c r="C24" s="194"/>
      <c r="D24" s="195" t="s">
        <v>75</v>
      </c>
      <c r="E24" s="196"/>
      <c r="F24" s="197"/>
    </row>
    <row r="25" spans="1:8" x14ac:dyDescent="0.25">
      <c r="A25" s="198" t="s">
        <v>83</v>
      </c>
      <c r="B25" s="199"/>
      <c r="C25" s="200"/>
      <c r="D25" s="207" t="s">
        <v>76</v>
      </c>
      <c r="E25" s="208"/>
      <c r="F25" s="209"/>
    </row>
    <row r="26" spans="1:8" ht="21.75" customHeight="1" x14ac:dyDescent="0.25">
      <c r="A26" s="201"/>
      <c r="B26" s="202"/>
      <c r="C26" s="203"/>
      <c r="D26" s="210"/>
      <c r="E26" s="211"/>
      <c r="F26" s="212"/>
    </row>
    <row r="27" spans="1:8" ht="4.5" customHeight="1" thickBot="1" x14ac:dyDescent="0.3">
      <c r="A27" s="204"/>
      <c r="B27" s="205"/>
      <c r="C27" s="206"/>
      <c r="D27" s="213"/>
      <c r="E27" s="214"/>
      <c r="F27" s="215"/>
    </row>
    <row r="28" spans="1:8" ht="16.5" thickBot="1" x14ac:dyDescent="0.3">
      <c r="A28" s="187"/>
      <c r="B28" s="188"/>
      <c r="C28" s="194"/>
      <c r="D28" s="187" t="s">
        <v>0</v>
      </c>
      <c r="E28" s="188"/>
      <c r="F28" s="194"/>
    </row>
    <row r="29" spans="1:8" x14ac:dyDescent="0.25">
      <c r="A29" s="175" t="s">
        <v>77</v>
      </c>
      <c r="B29" s="176"/>
      <c r="C29" s="177"/>
      <c r="D29" s="181" t="s">
        <v>93</v>
      </c>
      <c r="E29" s="182"/>
      <c r="F29" s="183"/>
    </row>
    <row r="30" spans="1:8" ht="59.25" customHeight="1" thickBot="1" x14ac:dyDescent="0.3">
      <c r="A30" s="178"/>
      <c r="B30" s="179"/>
      <c r="C30" s="180"/>
      <c r="D30" s="184"/>
      <c r="E30" s="185"/>
      <c r="F30" s="186"/>
    </row>
    <row r="31" spans="1:8" ht="16.5" thickBot="1" x14ac:dyDescent="0.3">
      <c r="A31" s="187" t="s">
        <v>78</v>
      </c>
      <c r="B31" s="188"/>
      <c r="C31" s="188"/>
      <c r="D31" s="112" t="s">
        <v>79</v>
      </c>
      <c r="E31" s="189">
        <v>24</v>
      </c>
      <c r="F31" s="190"/>
    </row>
    <row r="32" spans="1:8" ht="16.5" thickBot="1" x14ac:dyDescent="0.3">
      <c r="A32" s="191"/>
      <c r="B32" s="192"/>
      <c r="C32" s="193"/>
      <c r="D32" s="113" t="s">
        <v>80</v>
      </c>
      <c r="E32" s="189">
        <v>22</v>
      </c>
      <c r="F32" s="190"/>
    </row>
    <row r="33" spans="1:7" ht="15.75" x14ac:dyDescent="0.25">
      <c r="A33" s="170" t="s">
        <v>81</v>
      </c>
      <c r="B33" s="171"/>
      <c r="C33" s="171"/>
      <c r="D33" s="171"/>
      <c r="E33" s="171"/>
      <c r="F33" s="172"/>
    </row>
    <row r="34" spans="1:7" x14ac:dyDescent="0.25">
      <c r="A34" s="173" t="s">
        <v>95</v>
      </c>
      <c r="B34" s="174"/>
      <c r="C34" s="174"/>
      <c r="D34" s="174"/>
      <c r="E34" s="174"/>
      <c r="F34" s="174"/>
    </row>
    <row r="35" spans="1:7" ht="36" customHeight="1" x14ac:dyDescent="0.25">
      <c r="A35" s="174"/>
      <c r="B35" s="174"/>
      <c r="C35" s="174"/>
      <c r="D35" s="174"/>
      <c r="E35" s="174"/>
      <c r="F35" s="174"/>
    </row>
    <row r="36" spans="1:7" ht="29.25" customHeight="1" x14ac:dyDescent="0.25">
      <c r="A36" s="65" t="s">
        <v>40</v>
      </c>
      <c r="B36" s="65" t="s">
        <v>41</v>
      </c>
      <c r="C36" s="65" t="s">
        <v>85</v>
      </c>
      <c r="D36" s="66" t="s">
        <v>42</v>
      </c>
      <c r="E36" s="66" t="s">
        <v>82</v>
      </c>
      <c r="F36" s="67" t="s">
        <v>44</v>
      </c>
      <c r="G36" s="68"/>
    </row>
  </sheetData>
  <mergeCells count="40">
    <mergeCell ref="A5:C5"/>
    <mergeCell ref="D5:F5"/>
    <mergeCell ref="A1:F2"/>
    <mergeCell ref="A3:C3"/>
    <mergeCell ref="D3:F3"/>
    <mergeCell ref="A4:C4"/>
    <mergeCell ref="D4:F4"/>
    <mergeCell ref="A6:C6"/>
    <mergeCell ref="D6:F6"/>
    <mergeCell ref="A7:C7"/>
    <mergeCell ref="E7:F7"/>
    <mergeCell ref="A8:C8"/>
    <mergeCell ref="D8:F8"/>
    <mergeCell ref="A23:C23"/>
    <mergeCell ref="D23:F23"/>
    <mergeCell ref="A9:C10"/>
    <mergeCell ref="D9:F10"/>
    <mergeCell ref="A11:C11"/>
    <mergeCell ref="D11:F11"/>
    <mergeCell ref="A12:C12"/>
    <mergeCell ref="D12:F12"/>
    <mergeCell ref="A13:C13"/>
    <mergeCell ref="D13:F13"/>
    <mergeCell ref="A14:C14"/>
    <mergeCell ref="D14:F14"/>
    <mergeCell ref="A15:F15"/>
    <mergeCell ref="A24:C24"/>
    <mergeCell ref="D24:F24"/>
    <mergeCell ref="A25:C27"/>
    <mergeCell ref="D25:F27"/>
    <mergeCell ref="A28:C28"/>
    <mergeCell ref="D28:F28"/>
    <mergeCell ref="A33:F33"/>
    <mergeCell ref="A34:F35"/>
    <mergeCell ref="A29:C30"/>
    <mergeCell ref="D29:F30"/>
    <mergeCell ref="A31:C31"/>
    <mergeCell ref="E31:F31"/>
    <mergeCell ref="A32:C32"/>
    <mergeCell ref="E32:F32"/>
  </mergeCells>
  <pageMargins left="0.7" right="0.7" top="0.75" bottom="0.75" header="0.3" footer="0.3"/>
  <pageSetup fitToWidth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NOTIFICACION</vt:lpstr>
    </vt:vector>
  </TitlesOfParts>
  <Company>Posada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HOTEL</dc:creator>
  <cp:lastModifiedBy>Ventas2</cp:lastModifiedBy>
  <cp:lastPrinted>2026-03-19T18:44:58Z</cp:lastPrinted>
  <dcterms:created xsi:type="dcterms:W3CDTF">2010-03-04T20:38:17Z</dcterms:created>
  <dcterms:modified xsi:type="dcterms:W3CDTF">2026-03-19T18:45:05Z</dcterms:modified>
</cp:coreProperties>
</file>